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Documents\Altium\UltraZOhm\Slow ADC Main\Project Outputs for Analog_MAX11331_Adapter_1v02\BOM\"/>
    </mc:Choice>
  </mc:AlternateContent>
  <xr:revisionPtr revIDLastSave="0" documentId="13_ncr:1_{56FEA718-C1C9-4EAC-BE4D-2F1C52444203}" xr6:coauthVersionLast="45" xr6:coauthVersionMax="45" xr10:uidLastSave="{00000000-0000-0000-0000-000000000000}"/>
  <bookViews>
    <workbookView xWindow="-120" yWindow="-120" windowWidth="29040" windowHeight="15840" xr2:uid="{68714199-68E5-4F9B-9984-E93C797564A0}"/>
  </bookViews>
  <sheets>
    <sheet name="BOM_UltraZohm_Analog_Adapter_MA" sheetId="1" r:id="rId1"/>
  </sheets>
  <definedNames>
    <definedName name="_xlnm.Print_Titles" localSheetId="0">BOM_UltraZohm_Analog_Adapter_MA!$1:$1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  <c r="L32" i="1"/>
  <c r="N32" i="1" l="1"/>
</calcChain>
</file>

<file path=xl/sharedStrings.xml><?xml version="1.0" encoding="utf-8"?>
<sst xmlns="http://schemas.openxmlformats.org/spreadsheetml/2006/main" count="265" uniqueCount="166">
  <si>
    <t>Name</t>
  </si>
  <si>
    <t>Designator</t>
  </si>
  <si>
    <t>Value</t>
  </si>
  <si>
    <t>Description</t>
  </si>
  <si>
    <t>Footprint</t>
  </si>
  <si>
    <t>Supplier 1</t>
  </si>
  <si>
    <t>Supplier Part Number 1</t>
  </si>
  <si>
    <t>Manufacturer 1</t>
  </si>
  <si>
    <t>Manufacturer Part Number 1</t>
  </si>
  <si>
    <t>Supplier Unit Price 1</t>
  </si>
  <si>
    <t>Quantity</t>
  </si>
  <si>
    <t>Supplier Subtotal 1</t>
  </si>
  <si>
    <t>Ferrite bead</t>
  </si>
  <si>
    <t>BS1</t>
  </si>
  <si>
    <t>6A</t>
  </si>
  <si>
    <t>RES_1206</t>
  </si>
  <si>
    <t>Digi-Key</t>
  </si>
  <si>
    <t>240-2412-1-ND</t>
  </si>
  <si>
    <t>Laird</t>
  </si>
  <si>
    <t>HI1206T500R-10</t>
  </si>
  <si>
    <t>100nF</t>
  </si>
  <si>
    <t>C1, C2, C3A, C3B, C3C, C4A, C4B, C4C, C10, C13, C18, C19, C20, C21, C22, C23, C24, C25</t>
  </si>
  <si>
    <t>Capacitor</t>
  </si>
  <si>
    <t>CAP_0603</t>
  </si>
  <si>
    <t>1276-1006-1-ND</t>
  </si>
  <si>
    <t>Samsung</t>
  </si>
  <si>
    <t>CL10B104KA8NNNC</t>
  </si>
  <si>
    <t>2.2nF</t>
  </si>
  <si>
    <t>C6</t>
  </si>
  <si>
    <t>Capacitor Ceramic</t>
  </si>
  <si>
    <t>399-1085-1-ND</t>
  </si>
  <si>
    <t>KEMET</t>
  </si>
  <si>
    <t>C0603C222K5RACTU</t>
  </si>
  <si>
    <t>1.2nF</t>
  </si>
  <si>
    <t>C7</t>
  </si>
  <si>
    <t>490-1453-1-ND</t>
  </si>
  <si>
    <t>Murata</t>
  </si>
  <si>
    <t>GRM1885C1H122JA01D</t>
  </si>
  <si>
    <t>68µF</t>
  </si>
  <si>
    <t>C8, C9</t>
  </si>
  <si>
    <t>WCAP-ATG8 THT Aluminum Electrolytic Capacitors, D6.3mm x L11mm, 68uF, +/-20%, 35VDC</t>
  </si>
  <si>
    <t>WCAP-ATG8_6.3x11</t>
  </si>
  <si>
    <t>732-8736-1-ND</t>
  </si>
  <si>
    <t>Wurth Electronics</t>
  </si>
  <si>
    <t>860010573006</t>
  </si>
  <si>
    <t>10µF</t>
  </si>
  <si>
    <t>C11, C12</t>
  </si>
  <si>
    <t>490-9964-1-ND</t>
  </si>
  <si>
    <t>GRM319R6YA106KA12D</t>
  </si>
  <si>
    <t xml:space="preserve"> 1µF</t>
  </si>
  <si>
    <t>C14, C16, C17</t>
  </si>
  <si>
    <t>1276-1860-1-ND</t>
  </si>
  <si>
    <t>CL10A105KB8NNNC</t>
  </si>
  <si>
    <t>91pF</t>
  </si>
  <si>
    <t>C15</t>
  </si>
  <si>
    <t>399-3193-1-ND</t>
  </si>
  <si>
    <t>C0402C910J5GACTU</t>
  </si>
  <si>
    <t>VCC</t>
  </si>
  <si>
    <t>D1</t>
  </si>
  <si>
    <t>LED Blue</t>
  </si>
  <si>
    <t>LED_0805_GREEN</t>
  </si>
  <si>
    <t>732-4982-1-ND</t>
  </si>
  <si>
    <t>150080BS75000</t>
  </si>
  <si>
    <t>VIN</t>
  </si>
  <si>
    <t>D2</t>
  </si>
  <si>
    <t>1.8V</t>
  </si>
  <si>
    <t>D3</t>
  </si>
  <si>
    <t>732-4986-1-ND</t>
  </si>
  <si>
    <t>150080VS75000</t>
  </si>
  <si>
    <t>33µH</t>
  </si>
  <si>
    <t>L1</t>
  </si>
  <si>
    <t>SMT power Inductor, 33µH, 225m DRC</t>
  </si>
  <si>
    <t>Inductor 5030</t>
  </si>
  <si>
    <t>587-3458-1-ND</t>
  </si>
  <si>
    <t>Taiyo Yuden</t>
  </si>
  <si>
    <t>NRS5030T330MMGJ</t>
  </si>
  <si>
    <t>Header 3X2</t>
  </si>
  <si>
    <t>P1</t>
  </si>
  <si>
    <t>Header, 3-Pin, Dual row</t>
  </si>
  <si>
    <t>HDR2X3</t>
  </si>
  <si>
    <t>0</t>
  </si>
  <si>
    <t>R2</t>
  </si>
  <si>
    <t/>
  </si>
  <si>
    <t>RES_0603</t>
  </si>
  <si>
    <t>311-0.0GRCT-ND</t>
  </si>
  <si>
    <t>Yageo</t>
  </si>
  <si>
    <t>RC0603JR-070RL</t>
  </si>
  <si>
    <t>10k</t>
  </si>
  <si>
    <t>R4, R5, R6, R7, R10, R11, R12, R13, R15, R16, R17, R18, R19, R20, R28, R31, R32, R33, R34, R35, R36</t>
  </si>
  <si>
    <t>311-10.0KHRCT-ND</t>
  </si>
  <si>
    <t>Yageo Phycomp</t>
  </si>
  <si>
    <t>RC0603FR-0710KL</t>
  </si>
  <si>
    <t>100R</t>
  </si>
  <si>
    <t>R21A, R21B, R21C, R22A, R22B, R22C, R23A, R23B, R23C, R24A, R24B, R24C, R37A, R37B, R37C, R39</t>
  </si>
  <si>
    <t>311-100HRCT-ND</t>
  </si>
  <si>
    <t>RC0603FR-07100RL</t>
  </si>
  <si>
    <t>2.2M</t>
  </si>
  <si>
    <t>R25</t>
  </si>
  <si>
    <t>2019-RK73H1JTTD2204FCT-ND</t>
  </si>
  <si>
    <t>KOA Speer</t>
  </si>
  <si>
    <t>RK73H1JTTD2204F</t>
  </si>
  <si>
    <t>200k</t>
  </si>
  <si>
    <t>R26</t>
  </si>
  <si>
    <t>P200KHCT-ND</t>
  </si>
  <si>
    <t>Panasonic</t>
  </si>
  <si>
    <t>ERJ-3EKF2003V</t>
  </si>
  <si>
    <t>115k</t>
  </si>
  <si>
    <t>R27</t>
  </si>
  <si>
    <t>2019-RK73H1JTTD1153FCT-ND</t>
  </si>
  <si>
    <t>RK73H1JTTD1153F</t>
  </si>
  <si>
    <t>100k</t>
  </si>
  <si>
    <t>R29</t>
  </si>
  <si>
    <t>RR08P100KDCT-ND</t>
  </si>
  <si>
    <t>Susumu</t>
  </si>
  <si>
    <t>RR0816P-104-D</t>
  </si>
  <si>
    <t>330</t>
  </si>
  <si>
    <t>R30</t>
  </si>
  <si>
    <t>311-330HRCT-ND</t>
  </si>
  <si>
    <t>RC0603FR-07330RL</t>
  </si>
  <si>
    <t>20k</t>
  </si>
  <si>
    <t>R38</t>
  </si>
  <si>
    <t>SN74AVC4T774</t>
  </si>
  <si>
    <t>U1, U7, U8, U9, U10</t>
  </si>
  <si>
    <t>4-Bit Dual-Supply Bus Transceiver With Configurable Voltage-Level Shifting and 3-State Outputs With Independent Direction Control Inputs</t>
  </si>
  <si>
    <t>TSOP65P640X120-16N</t>
  </si>
  <si>
    <t>296-24739-1-ND</t>
  </si>
  <si>
    <t>Texas Instruments</t>
  </si>
  <si>
    <t>SN74AVC4T774PWR</t>
  </si>
  <si>
    <t>Quad LVDS driver</t>
  </si>
  <si>
    <t>U2A, U2B, U2C</t>
  </si>
  <si>
    <t>3V, LVDS, Quad, CMOS Differential Line Driver</t>
  </si>
  <si>
    <t>ADN4665ARUZ-ND</t>
  </si>
  <si>
    <t>Analog Devices</t>
  </si>
  <si>
    <t>ADN4665ARUZ</t>
  </si>
  <si>
    <t>Quad LVDS reciever</t>
  </si>
  <si>
    <t>U3A, U3B, U3C</t>
  </si>
  <si>
    <t>3V, LVDS, quad, CMOS Differential Line Receiver</t>
  </si>
  <si>
    <t>ADN4666ARUZ-ND</t>
  </si>
  <si>
    <t>ADN4666ARUZ</t>
  </si>
  <si>
    <t>buck converter</t>
  </si>
  <si>
    <t>U5</t>
  </si>
  <si>
    <t>100V Input, 0.5A Synchronous Buck DC/DC Converter with Ultra-low Iq</t>
  </si>
  <si>
    <t>SOIC127P600X170_HS-9N</t>
  </si>
  <si>
    <t>296-LM5163DDARDKR-ND</t>
  </si>
  <si>
    <t>LM5163DDAR</t>
  </si>
  <si>
    <t>LDO</t>
  </si>
  <si>
    <t>U6</t>
  </si>
  <si>
    <t>0.3A Low-Dropout Regulator</t>
  </si>
  <si>
    <t>SOT-23-5</t>
  </si>
  <si>
    <t>296-48712-6-ND</t>
  </si>
  <si>
    <t>TLV74318PDBVR</t>
  </si>
  <si>
    <t>HSEC8-140-01-XX-DV-A-BL-CARD</t>
  </si>
  <si>
    <t>X1</t>
  </si>
  <si>
    <t>Mating Card Layout for HSEC8-140-01-XX-DV-A-BL</t>
  </si>
  <si>
    <t>2x8 Pin</t>
  </si>
  <si>
    <t>X2A, X2B, X2C</t>
  </si>
  <si>
    <t>Dual Row, 2x8 Shrouded IDC Header with Ejectors 50 mil pitch</t>
  </si>
  <si>
    <t>EHF-108-01-F-D</t>
  </si>
  <si>
    <t>SAM9265-ND</t>
  </si>
  <si>
    <t>Samtec</t>
  </si>
  <si>
    <t>IPL1-102-01-L-D-K</t>
  </si>
  <si>
    <t>X3, X4, X5</t>
  </si>
  <si>
    <t>2.54mm Double Row Terminal Assembly, Right-Angled</t>
  </si>
  <si>
    <t>SAM10565-ND</t>
  </si>
  <si>
    <t>quantity 2</t>
  </si>
  <si>
    <t>total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</si>
</sst>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429C-76F9-45B5-BA51-5FCE6AF14940}">
  <sheetPr>
    <pageSetUpPr fitToPage="1"/>
  </sheetPr>
  <dimension ref="A1:N32"/>
  <sheetViews>
    <sheetView tabSelected="1" topLeftCell="A25" workbookViewId="0">
      <selection activeCell="M31" sqref="M31"/>
    </sheetView>
  </sheetViews>
  <sheetFormatPr baseColWidth="10" defaultRowHeight="15" x14ac:dyDescent="0.25"/>
  <cols>
    <col min="1" max="1" width="18.85546875" customWidth="1"/>
    <col min="2" max="2" width="17.7109375" customWidth="1"/>
    <col min="3" max="3" width="13.85546875" customWidth="1"/>
    <col min="4" max="5" width="12.85546875" customWidth="1"/>
    <col min="6" max="6" width="12.42578125" customWidth="1"/>
    <col min="7" max="7" width="15.85546875" customWidth="1"/>
    <col min="8" max="10" width="16.7109375" customWidth="1"/>
    <col min="11" max="11" width="10.7109375" customWidth="1"/>
    <col min="12" max="12" width="16.7109375" customWidth="1"/>
  </cols>
  <sheetData>
    <row r="1" spans="1:14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164</v>
      </c>
      <c r="N1" s="1" t="s">
        <v>165</v>
      </c>
    </row>
    <row r="2" spans="1:14" x14ac:dyDescent="0.25">
      <c r="A2" s="3" t="s">
        <v>12</v>
      </c>
      <c r="B2" s="3" t="s">
        <v>13</v>
      </c>
      <c r="C2" s="4"/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4">
        <v>0.12</v>
      </c>
      <c r="K2" s="4">
        <v>1</v>
      </c>
      <c r="L2" s="4">
        <v>0.12</v>
      </c>
      <c r="M2" s="5">
        <v>1</v>
      </c>
      <c r="N2">
        <f>J2*M2</f>
        <v>0.12</v>
      </c>
    </row>
    <row r="3" spans="1:14" ht="75" x14ac:dyDescent="0.25">
      <c r="A3" s="3" t="s">
        <v>20</v>
      </c>
      <c r="B3" s="3" t="s">
        <v>21</v>
      </c>
      <c r="C3" s="3" t="s">
        <v>20</v>
      </c>
      <c r="D3" s="3" t="s">
        <v>22</v>
      </c>
      <c r="E3" s="3" t="s">
        <v>23</v>
      </c>
      <c r="F3" s="3" t="s">
        <v>16</v>
      </c>
      <c r="G3" s="3" t="s">
        <v>24</v>
      </c>
      <c r="H3" s="3" t="s">
        <v>25</v>
      </c>
      <c r="I3" s="3" t="s">
        <v>26</v>
      </c>
      <c r="J3" s="4">
        <v>3.1E-2</v>
      </c>
      <c r="K3" s="4">
        <v>18</v>
      </c>
      <c r="L3" s="4">
        <v>0.55800000000000005</v>
      </c>
      <c r="M3" s="5">
        <v>20</v>
      </c>
      <c r="N3">
        <f t="shared" ref="N3:N31" si="0">J3*M3</f>
        <v>0.62</v>
      </c>
    </row>
    <row r="4" spans="1:14" ht="30" x14ac:dyDescent="0.25">
      <c r="A4" s="3" t="s">
        <v>27</v>
      </c>
      <c r="B4" s="3" t="s">
        <v>28</v>
      </c>
      <c r="C4" s="3" t="s">
        <v>27</v>
      </c>
      <c r="D4" s="3" t="s">
        <v>29</v>
      </c>
      <c r="E4" s="3" t="s">
        <v>23</v>
      </c>
      <c r="F4" s="3" t="s">
        <v>16</v>
      </c>
      <c r="G4" s="3" t="s">
        <v>30</v>
      </c>
      <c r="H4" s="3" t="s">
        <v>31</v>
      </c>
      <c r="I4" s="3" t="s">
        <v>32</v>
      </c>
      <c r="J4" s="4">
        <v>0.1</v>
      </c>
      <c r="K4" s="4">
        <v>1</v>
      </c>
      <c r="L4" s="4">
        <v>0.1</v>
      </c>
      <c r="M4" s="5">
        <v>1</v>
      </c>
      <c r="N4">
        <f t="shared" si="0"/>
        <v>0.1</v>
      </c>
    </row>
    <row r="5" spans="1:14" ht="30" x14ac:dyDescent="0.25">
      <c r="A5" s="3" t="s">
        <v>33</v>
      </c>
      <c r="B5" s="3" t="s">
        <v>34</v>
      </c>
      <c r="C5" s="3" t="s">
        <v>33</v>
      </c>
      <c r="D5" s="3" t="s">
        <v>29</v>
      </c>
      <c r="E5" s="3" t="s">
        <v>23</v>
      </c>
      <c r="F5" s="3" t="s">
        <v>16</v>
      </c>
      <c r="G5" s="3" t="s">
        <v>35</v>
      </c>
      <c r="H5" s="3" t="s">
        <v>36</v>
      </c>
      <c r="I5" s="3" t="s">
        <v>37</v>
      </c>
      <c r="J5" s="4">
        <v>0.13</v>
      </c>
      <c r="K5" s="4">
        <v>1</v>
      </c>
      <c r="L5" s="4">
        <v>0.13</v>
      </c>
      <c r="M5" s="6">
        <v>1</v>
      </c>
      <c r="N5">
        <f t="shared" si="0"/>
        <v>0.13</v>
      </c>
    </row>
    <row r="6" spans="1:14" ht="135" x14ac:dyDescent="0.25">
      <c r="A6" s="3" t="s">
        <v>38</v>
      </c>
      <c r="B6" s="3" t="s">
        <v>39</v>
      </c>
      <c r="C6" s="3" t="s">
        <v>38</v>
      </c>
      <c r="D6" s="3" t="s">
        <v>40</v>
      </c>
      <c r="E6" s="3" t="s">
        <v>41</v>
      </c>
      <c r="F6" s="3" t="s">
        <v>16</v>
      </c>
      <c r="G6" s="3" t="s">
        <v>42</v>
      </c>
      <c r="H6" s="3" t="s">
        <v>43</v>
      </c>
      <c r="I6" s="3" t="s">
        <v>44</v>
      </c>
      <c r="J6" s="4">
        <v>0.13</v>
      </c>
      <c r="K6" s="4">
        <v>2</v>
      </c>
      <c r="L6" s="4">
        <v>0.26</v>
      </c>
      <c r="M6" s="6">
        <v>2</v>
      </c>
      <c r="N6">
        <f t="shared" si="0"/>
        <v>0.26</v>
      </c>
    </row>
    <row r="7" spans="1:14" ht="30" x14ac:dyDescent="0.25">
      <c r="A7" s="3" t="s">
        <v>45</v>
      </c>
      <c r="B7" s="3" t="s">
        <v>46</v>
      </c>
      <c r="C7" s="3" t="s">
        <v>45</v>
      </c>
      <c r="D7" s="3" t="s">
        <v>22</v>
      </c>
      <c r="E7" s="3" t="s">
        <v>15</v>
      </c>
      <c r="F7" s="3" t="s">
        <v>16</v>
      </c>
      <c r="G7" s="3" t="s">
        <v>47</v>
      </c>
      <c r="H7" s="3" t="s">
        <v>36</v>
      </c>
      <c r="I7" s="3" t="s">
        <v>48</v>
      </c>
      <c r="J7" s="4">
        <v>0.37</v>
      </c>
      <c r="K7" s="4">
        <v>2</v>
      </c>
      <c r="L7" s="4">
        <v>0.74</v>
      </c>
      <c r="M7" s="6">
        <v>2</v>
      </c>
      <c r="N7">
        <f t="shared" si="0"/>
        <v>0.74</v>
      </c>
    </row>
    <row r="8" spans="1:14" ht="30" x14ac:dyDescent="0.25">
      <c r="A8" s="3" t="s">
        <v>49</v>
      </c>
      <c r="B8" s="3" t="s">
        <v>50</v>
      </c>
      <c r="C8" s="3" t="s">
        <v>49</v>
      </c>
      <c r="D8" s="3" t="s">
        <v>29</v>
      </c>
      <c r="E8" s="3" t="s">
        <v>23</v>
      </c>
      <c r="F8" s="3" t="s">
        <v>16</v>
      </c>
      <c r="G8" s="3" t="s">
        <v>51</v>
      </c>
      <c r="H8" s="3" t="s">
        <v>25</v>
      </c>
      <c r="I8" s="3" t="s">
        <v>52</v>
      </c>
      <c r="J8" s="4">
        <v>0.17</v>
      </c>
      <c r="K8" s="4">
        <v>3</v>
      </c>
      <c r="L8" s="4">
        <v>0.51</v>
      </c>
      <c r="M8" s="6">
        <v>3</v>
      </c>
      <c r="N8">
        <f t="shared" si="0"/>
        <v>0.51</v>
      </c>
    </row>
    <row r="9" spans="1:14" ht="30" x14ac:dyDescent="0.25">
      <c r="A9" s="3" t="s">
        <v>53</v>
      </c>
      <c r="B9" s="3" t="s">
        <v>54</v>
      </c>
      <c r="C9" s="3" t="s">
        <v>53</v>
      </c>
      <c r="D9" s="3" t="s">
        <v>29</v>
      </c>
      <c r="E9" s="3" t="s">
        <v>23</v>
      </c>
      <c r="F9" s="3" t="s">
        <v>16</v>
      </c>
      <c r="G9" s="3" t="s">
        <v>55</v>
      </c>
      <c r="H9" s="3" t="s">
        <v>31</v>
      </c>
      <c r="I9" s="3" t="s">
        <v>56</v>
      </c>
      <c r="J9" s="4">
        <v>0.48</v>
      </c>
      <c r="K9" s="4">
        <v>1</v>
      </c>
      <c r="L9" s="4">
        <v>0.48</v>
      </c>
      <c r="M9" s="6">
        <v>1</v>
      </c>
      <c r="N9">
        <f t="shared" si="0"/>
        <v>0.48</v>
      </c>
    </row>
    <row r="10" spans="1:14" ht="30" x14ac:dyDescent="0.25">
      <c r="A10" s="3" t="s">
        <v>57</v>
      </c>
      <c r="B10" s="3" t="s">
        <v>58</v>
      </c>
      <c r="C10" s="4"/>
      <c r="D10" s="3" t="s">
        <v>59</v>
      </c>
      <c r="E10" s="3" t="s">
        <v>60</v>
      </c>
      <c r="F10" s="3" t="s">
        <v>16</v>
      </c>
      <c r="G10" s="3" t="s">
        <v>61</v>
      </c>
      <c r="H10" s="3" t="s">
        <v>43</v>
      </c>
      <c r="I10" s="3" t="s">
        <v>62</v>
      </c>
      <c r="J10" s="4">
        <v>0.18</v>
      </c>
      <c r="K10" s="4">
        <v>1</v>
      </c>
      <c r="L10" s="4">
        <v>0.18</v>
      </c>
      <c r="M10" s="6">
        <v>1</v>
      </c>
      <c r="N10">
        <f t="shared" si="0"/>
        <v>0.18</v>
      </c>
    </row>
    <row r="11" spans="1:14" ht="30" x14ac:dyDescent="0.25">
      <c r="A11" s="3" t="s">
        <v>63</v>
      </c>
      <c r="B11" s="3" t="s">
        <v>64</v>
      </c>
      <c r="C11" s="4"/>
      <c r="D11" s="3" t="s">
        <v>59</v>
      </c>
      <c r="E11" s="3" t="s">
        <v>60</v>
      </c>
      <c r="F11" s="3" t="s">
        <v>16</v>
      </c>
      <c r="G11" s="3" t="s">
        <v>61</v>
      </c>
      <c r="H11" s="3" t="s">
        <v>43</v>
      </c>
      <c r="I11" s="3" t="s">
        <v>62</v>
      </c>
      <c r="J11" s="4">
        <v>0.18</v>
      </c>
      <c r="K11" s="4">
        <v>1</v>
      </c>
      <c r="L11" s="4">
        <v>0.18</v>
      </c>
      <c r="M11" s="6">
        <v>1</v>
      </c>
      <c r="N11">
        <f t="shared" si="0"/>
        <v>0.18</v>
      </c>
    </row>
    <row r="12" spans="1:14" ht="30" x14ac:dyDescent="0.25">
      <c r="A12" s="3" t="s">
        <v>65</v>
      </c>
      <c r="B12" s="3" t="s">
        <v>66</v>
      </c>
      <c r="C12" s="4"/>
      <c r="D12" s="3" t="s">
        <v>59</v>
      </c>
      <c r="E12" s="3" t="s">
        <v>60</v>
      </c>
      <c r="F12" s="3" t="s">
        <v>16</v>
      </c>
      <c r="G12" s="3" t="s">
        <v>67</v>
      </c>
      <c r="H12" s="3" t="s">
        <v>43</v>
      </c>
      <c r="I12" s="3" t="s">
        <v>68</v>
      </c>
      <c r="J12" s="4">
        <v>0.18</v>
      </c>
      <c r="K12" s="4">
        <v>1</v>
      </c>
      <c r="L12" s="4">
        <v>0.18</v>
      </c>
      <c r="M12" s="6">
        <v>1</v>
      </c>
      <c r="N12">
        <f t="shared" si="0"/>
        <v>0.18</v>
      </c>
    </row>
    <row r="13" spans="1:14" ht="60" x14ac:dyDescent="0.25">
      <c r="A13" s="3" t="s">
        <v>69</v>
      </c>
      <c r="B13" s="3" t="s">
        <v>70</v>
      </c>
      <c r="C13" s="3" t="s">
        <v>69</v>
      </c>
      <c r="D13" s="3" t="s">
        <v>71</v>
      </c>
      <c r="E13" s="3" t="s">
        <v>72</v>
      </c>
      <c r="F13" s="3" t="s">
        <v>16</v>
      </c>
      <c r="G13" s="3" t="s">
        <v>73</v>
      </c>
      <c r="H13" s="3" t="s">
        <v>74</v>
      </c>
      <c r="I13" s="3" t="s">
        <v>75</v>
      </c>
      <c r="J13" s="4">
        <v>0.38</v>
      </c>
      <c r="K13" s="4">
        <v>1</v>
      </c>
      <c r="L13" s="4">
        <v>0.38</v>
      </c>
      <c r="M13" s="6">
        <v>1</v>
      </c>
      <c r="N13">
        <f t="shared" si="0"/>
        <v>0.38</v>
      </c>
    </row>
    <row r="14" spans="1:14" ht="30" x14ac:dyDescent="0.25">
      <c r="A14" s="3" t="s">
        <v>76</v>
      </c>
      <c r="B14" s="3" t="s">
        <v>77</v>
      </c>
      <c r="C14" s="4"/>
      <c r="D14" s="3" t="s">
        <v>78</v>
      </c>
      <c r="E14" s="3" t="s">
        <v>79</v>
      </c>
      <c r="F14" s="4"/>
      <c r="G14" s="4"/>
      <c r="H14" s="4"/>
      <c r="I14" s="4"/>
      <c r="J14" s="4"/>
      <c r="K14" s="4">
        <v>1</v>
      </c>
      <c r="L14" s="4"/>
      <c r="M14" s="6">
        <v>1</v>
      </c>
      <c r="N14">
        <f t="shared" si="0"/>
        <v>0</v>
      </c>
    </row>
    <row r="15" spans="1:14" x14ac:dyDescent="0.25">
      <c r="A15" s="3" t="s">
        <v>80</v>
      </c>
      <c r="B15" s="3" t="s">
        <v>81</v>
      </c>
      <c r="C15" s="3" t="s">
        <v>80</v>
      </c>
      <c r="D15" s="3" t="s">
        <v>82</v>
      </c>
      <c r="E15" s="3" t="s">
        <v>83</v>
      </c>
      <c r="F15" s="3" t="s">
        <v>16</v>
      </c>
      <c r="G15" s="3" t="s">
        <v>84</v>
      </c>
      <c r="H15" s="3" t="s">
        <v>85</v>
      </c>
      <c r="I15" s="3" t="s">
        <v>86</v>
      </c>
      <c r="J15" s="4">
        <v>0.1</v>
      </c>
      <c r="K15" s="4">
        <v>1</v>
      </c>
      <c r="L15" s="4">
        <v>0.1</v>
      </c>
      <c r="M15" s="6">
        <v>1</v>
      </c>
      <c r="N15">
        <f t="shared" si="0"/>
        <v>0.1</v>
      </c>
    </row>
    <row r="16" spans="1:14" ht="75" x14ac:dyDescent="0.25">
      <c r="A16" s="3" t="s">
        <v>87</v>
      </c>
      <c r="B16" s="3" t="s">
        <v>88</v>
      </c>
      <c r="C16" s="3" t="s">
        <v>87</v>
      </c>
      <c r="D16" s="3" t="s">
        <v>82</v>
      </c>
      <c r="E16" s="3" t="s">
        <v>83</v>
      </c>
      <c r="F16" s="3" t="s">
        <v>16</v>
      </c>
      <c r="G16" s="3" t="s">
        <v>89</v>
      </c>
      <c r="H16" s="3" t="s">
        <v>90</v>
      </c>
      <c r="I16" s="3" t="s">
        <v>91</v>
      </c>
      <c r="J16" s="4">
        <v>2.3E-2</v>
      </c>
      <c r="K16" s="4">
        <v>21</v>
      </c>
      <c r="L16" s="4">
        <v>0.48299999999999998</v>
      </c>
      <c r="M16" s="6">
        <v>20</v>
      </c>
      <c r="N16">
        <f t="shared" si="0"/>
        <v>0.45999999999999996</v>
      </c>
    </row>
    <row r="17" spans="1:14" ht="90" x14ac:dyDescent="0.25">
      <c r="A17" s="3" t="s">
        <v>92</v>
      </c>
      <c r="B17" s="3" t="s">
        <v>93</v>
      </c>
      <c r="C17" s="3" t="s">
        <v>92</v>
      </c>
      <c r="D17" s="3" t="s">
        <v>82</v>
      </c>
      <c r="E17" s="3" t="s">
        <v>83</v>
      </c>
      <c r="F17" s="3" t="s">
        <v>16</v>
      </c>
      <c r="G17" s="3" t="s">
        <v>94</v>
      </c>
      <c r="H17" s="3" t="s">
        <v>85</v>
      </c>
      <c r="I17" s="3" t="s">
        <v>95</v>
      </c>
      <c r="J17" s="4">
        <v>2.3E-2</v>
      </c>
      <c r="K17" s="4">
        <v>16</v>
      </c>
      <c r="L17" s="4">
        <v>0.36799999999999999</v>
      </c>
      <c r="M17" s="6">
        <v>20</v>
      </c>
      <c r="N17">
        <f t="shared" si="0"/>
        <v>0.45999999999999996</v>
      </c>
    </row>
    <row r="18" spans="1:14" ht="45" x14ac:dyDescent="0.25">
      <c r="A18" s="3" t="s">
        <v>96</v>
      </c>
      <c r="B18" s="3" t="s">
        <v>97</v>
      </c>
      <c r="C18" s="3" t="s">
        <v>96</v>
      </c>
      <c r="D18" s="3" t="s">
        <v>82</v>
      </c>
      <c r="E18" s="3" t="s">
        <v>83</v>
      </c>
      <c r="F18" s="3" t="s">
        <v>16</v>
      </c>
      <c r="G18" s="3" t="s">
        <v>98</v>
      </c>
      <c r="H18" s="3" t="s">
        <v>99</v>
      </c>
      <c r="I18" s="3" t="s">
        <v>100</v>
      </c>
      <c r="J18" s="4">
        <v>0.1</v>
      </c>
      <c r="K18" s="4">
        <v>1</v>
      </c>
      <c r="L18" s="4">
        <v>0.1</v>
      </c>
      <c r="M18" s="6">
        <v>1</v>
      </c>
      <c r="N18">
        <f t="shared" si="0"/>
        <v>0.1</v>
      </c>
    </row>
    <row r="19" spans="1:14" x14ac:dyDescent="0.25">
      <c r="A19" s="3" t="s">
        <v>101</v>
      </c>
      <c r="B19" s="3" t="s">
        <v>102</v>
      </c>
      <c r="C19" s="3" t="s">
        <v>101</v>
      </c>
      <c r="D19" s="3" t="s">
        <v>82</v>
      </c>
      <c r="E19" s="3" t="s">
        <v>83</v>
      </c>
      <c r="F19" s="3" t="s">
        <v>16</v>
      </c>
      <c r="G19" s="3" t="s">
        <v>103</v>
      </c>
      <c r="H19" s="3" t="s">
        <v>104</v>
      </c>
      <c r="I19" s="3" t="s">
        <v>105</v>
      </c>
      <c r="J19" s="4">
        <v>0.1</v>
      </c>
      <c r="K19" s="4">
        <v>1</v>
      </c>
      <c r="L19" s="4">
        <v>0.1</v>
      </c>
      <c r="M19" s="6">
        <v>1</v>
      </c>
      <c r="N19">
        <f t="shared" si="0"/>
        <v>0.1</v>
      </c>
    </row>
    <row r="20" spans="1:14" ht="45" x14ac:dyDescent="0.25">
      <c r="A20" s="3" t="s">
        <v>106</v>
      </c>
      <c r="B20" s="3" t="s">
        <v>107</v>
      </c>
      <c r="C20" s="3" t="s">
        <v>106</v>
      </c>
      <c r="D20" s="3" t="s">
        <v>82</v>
      </c>
      <c r="E20" s="3" t="s">
        <v>83</v>
      </c>
      <c r="F20" s="3" t="s">
        <v>16</v>
      </c>
      <c r="G20" s="3" t="s">
        <v>108</v>
      </c>
      <c r="H20" s="3" t="s">
        <v>99</v>
      </c>
      <c r="I20" s="3" t="s">
        <v>109</v>
      </c>
      <c r="J20" s="4">
        <v>0.1</v>
      </c>
      <c r="K20" s="4">
        <v>1</v>
      </c>
      <c r="L20" s="4">
        <v>0.1</v>
      </c>
      <c r="M20" s="6">
        <v>1</v>
      </c>
      <c r="N20">
        <f t="shared" si="0"/>
        <v>0.1</v>
      </c>
    </row>
    <row r="21" spans="1:14" ht="30" x14ac:dyDescent="0.25">
      <c r="A21" s="3" t="s">
        <v>110</v>
      </c>
      <c r="B21" s="3" t="s">
        <v>111</v>
      </c>
      <c r="C21" s="3" t="s">
        <v>110</v>
      </c>
      <c r="D21" s="3" t="s">
        <v>82</v>
      </c>
      <c r="E21" s="3" t="s">
        <v>83</v>
      </c>
      <c r="F21" s="3" t="s">
        <v>16</v>
      </c>
      <c r="G21" s="3" t="s">
        <v>112</v>
      </c>
      <c r="H21" s="3" t="s">
        <v>113</v>
      </c>
      <c r="I21" s="3" t="s">
        <v>114</v>
      </c>
      <c r="J21" s="4">
        <v>0.1</v>
      </c>
      <c r="K21" s="4">
        <v>1</v>
      </c>
      <c r="L21" s="4">
        <v>0.1</v>
      </c>
      <c r="M21" s="6">
        <v>1</v>
      </c>
      <c r="N21">
        <f t="shared" si="0"/>
        <v>0.1</v>
      </c>
    </row>
    <row r="22" spans="1:14" ht="30" x14ac:dyDescent="0.25">
      <c r="A22" s="3" t="s">
        <v>115</v>
      </c>
      <c r="B22" s="3" t="s">
        <v>116</v>
      </c>
      <c r="C22" s="3" t="s">
        <v>115</v>
      </c>
      <c r="D22" s="3" t="s">
        <v>82</v>
      </c>
      <c r="E22" s="3" t="s">
        <v>83</v>
      </c>
      <c r="F22" s="3" t="s">
        <v>16</v>
      </c>
      <c r="G22" s="3" t="s">
        <v>117</v>
      </c>
      <c r="H22" s="3" t="s">
        <v>85</v>
      </c>
      <c r="I22" s="3" t="s">
        <v>118</v>
      </c>
      <c r="J22" s="4">
        <v>0.1</v>
      </c>
      <c r="K22" s="4">
        <v>1</v>
      </c>
      <c r="L22" s="4">
        <v>0.1</v>
      </c>
      <c r="M22" s="6">
        <v>1</v>
      </c>
      <c r="N22">
        <f t="shared" si="0"/>
        <v>0.1</v>
      </c>
    </row>
    <row r="23" spans="1:14" ht="30" x14ac:dyDescent="0.25">
      <c r="A23" s="3" t="s">
        <v>119</v>
      </c>
      <c r="B23" s="3" t="s">
        <v>120</v>
      </c>
      <c r="C23" s="3" t="s">
        <v>119</v>
      </c>
      <c r="D23" s="3" t="s">
        <v>82</v>
      </c>
      <c r="E23" s="3" t="s">
        <v>83</v>
      </c>
      <c r="F23" s="3" t="s">
        <v>16</v>
      </c>
      <c r="G23" s="3" t="s">
        <v>117</v>
      </c>
      <c r="H23" s="3" t="s">
        <v>85</v>
      </c>
      <c r="I23" s="3" t="s">
        <v>118</v>
      </c>
      <c r="J23" s="4">
        <v>0.1</v>
      </c>
      <c r="K23" s="4">
        <v>1</v>
      </c>
      <c r="L23" s="4">
        <v>0.1</v>
      </c>
      <c r="M23" s="6">
        <v>1</v>
      </c>
      <c r="N23">
        <f t="shared" si="0"/>
        <v>0.1</v>
      </c>
    </row>
    <row r="24" spans="1:14" ht="210" x14ac:dyDescent="0.25">
      <c r="A24" s="3" t="s">
        <v>121</v>
      </c>
      <c r="B24" s="3" t="s">
        <v>122</v>
      </c>
      <c r="C24" s="4"/>
      <c r="D24" s="3" t="s">
        <v>123</v>
      </c>
      <c r="E24" s="3" t="s">
        <v>124</v>
      </c>
      <c r="F24" s="3" t="s">
        <v>16</v>
      </c>
      <c r="G24" s="3" t="s">
        <v>125</v>
      </c>
      <c r="H24" s="3" t="s">
        <v>126</v>
      </c>
      <c r="I24" s="3" t="s">
        <v>127</v>
      </c>
      <c r="J24" s="4">
        <v>1.1000000000000001</v>
      </c>
      <c r="K24" s="4">
        <v>5</v>
      </c>
      <c r="L24" s="4">
        <v>5.5</v>
      </c>
      <c r="M24" s="6">
        <v>2</v>
      </c>
      <c r="N24">
        <f t="shared" si="0"/>
        <v>2.2000000000000002</v>
      </c>
    </row>
    <row r="25" spans="1:14" ht="60" x14ac:dyDescent="0.25">
      <c r="A25" s="3" t="s">
        <v>128</v>
      </c>
      <c r="B25" s="3" t="s">
        <v>129</v>
      </c>
      <c r="C25" s="4"/>
      <c r="D25" s="3" t="s">
        <v>130</v>
      </c>
      <c r="E25" s="3" t="s">
        <v>124</v>
      </c>
      <c r="F25" s="3" t="s">
        <v>16</v>
      </c>
      <c r="G25" s="3" t="s">
        <v>131</v>
      </c>
      <c r="H25" s="3" t="s">
        <v>132</v>
      </c>
      <c r="I25" s="3" t="s">
        <v>133</v>
      </c>
      <c r="J25" s="4">
        <v>3.15</v>
      </c>
      <c r="K25" s="4">
        <v>3</v>
      </c>
      <c r="L25" s="4">
        <v>9.4499999999999993</v>
      </c>
      <c r="M25" s="6">
        <v>1</v>
      </c>
      <c r="N25">
        <f t="shared" si="0"/>
        <v>3.15</v>
      </c>
    </row>
    <row r="26" spans="1:14" ht="60" x14ac:dyDescent="0.25">
      <c r="A26" s="3" t="s">
        <v>134</v>
      </c>
      <c r="B26" s="3" t="s">
        <v>135</v>
      </c>
      <c r="C26" s="4"/>
      <c r="D26" s="3" t="s">
        <v>136</v>
      </c>
      <c r="E26" s="3" t="s">
        <v>124</v>
      </c>
      <c r="F26" s="3" t="s">
        <v>16</v>
      </c>
      <c r="G26" s="3" t="s">
        <v>137</v>
      </c>
      <c r="H26" s="3" t="s">
        <v>132</v>
      </c>
      <c r="I26" s="3" t="s">
        <v>138</v>
      </c>
      <c r="J26" s="4">
        <v>3.15</v>
      </c>
      <c r="K26" s="4">
        <v>3</v>
      </c>
      <c r="L26" s="4">
        <v>9.4499999999999993</v>
      </c>
      <c r="M26" s="6">
        <v>1</v>
      </c>
      <c r="N26">
        <f t="shared" si="0"/>
        <v>3.15</v>
      </c>
    </row>
    <row r="27" spans="1:14" ht="105" x14ac:dyDescent="0.25">
      <c r="A27" s="3" t="s">
        <v>139</v>
      </c>
      <c r="B27" s="3" t="s">
        <v>140</v>
      </c>
      <c r="C27" s="4"/>
      <c r="D27" s="3" t="s">
        <v>141</v>
      </c>
      <c r="E27" s="3" t="s">
        <v>142</v>
      </c>
      <c r="F27" s="3" t="s">
        <v>16</v>
      </c>
      <c r="G27" s="3" t="s">
        <v>143</v>
      </c>
      <c r="H27" s="3" t="s">
        <v>126</v>
      </c>
      <c r="I27" s="3" t="s">
        <v>144</v>
      </c>
      <c r="J27" s="4">
        <v>2.66</v>
      </c>
      <c r="K27" s="4">
        <v>1</v>
      </c>
      <c r="L27" s="4">
        <v>2.66</v>
      </c>
      <c r="M27" s="6">
        <v>1</v>
      </c>
      <c r="N27">
        <f t="shared" si="0"/>
        <v>2.66</v>
      </c>
    </row>
    <row r="28" spans="1:14" ht="45" x14ac:dyDescent="0.25">
      <c r="A28" s="3" t="s">
        <v>145</v>
      </c>
      <c r="B28" s="3" t="s">
        <v>146</v>
      </c>
      <c r="C28" s="4"/>
      <c r="D28" s="3" t="s">
        <v>147</v>
      </c>
      <c r="E28" s="3" t="s">
        <v>148</v>
      </c>
      <c r="F28" s="3" t="s">
        <v>16</v>
      </c>
      <c r="G28" s="3" t="s">
        <v>149</v>
      </c>
      <c r="H28" s="3" t="s">
        <v>126</v>
      </c>
      <c r="I28" s="3" t="s">
        <v>150</v>
      </c>
      <c r="J28" s="4">
        <v>0.34</v>
      </c>
      <c r="K28" s="4">
        <v>1</v>
      </c>
      <c r="L28" s="4">
        <v>0.34</v>
      </c>
      <c r="M28" s="6">
        <v>1</v>
      </c>
      <c r="N28">
        <f t="shared" si="0"/>
        <v>0.34</v>
      </c>
    </row>
    <row r="29" spans="1:14" ht="60" x14ac:dyDescent="0.25">
      <c r="A29" s="3" t="s">
        <v>151</v>
      </c>
      <c r="B29" s="3" t="s">
        <v>152</v>
      </c>
      <c r="C29" s="3" t="s">
        <v>151</v>
      </c>
      <c r="D29" s="3" t="s">
        <v>153</v>
      </c>
      <c r="E29" s="3" t="s">
        <v>151</v>
      </c>
      <c r="F29" s="4"/>
      <c r="G29" s="4"/>
      <c r="H29" s="4"/>
      <c r="I29" s="4"/>
      <c r="J29" s="4"/>
      <c r="K29" s="4">
        <v>1</v>
      </c>
      <c r="L29" s="4"/>
      <c r="M29" s="6">
        <v>0</v>
      </c>
      <c r="N29">
        <f t="shared" si="0"/>
        <v>0</v>
      </c>
    </row>
    <row r="30" spans="1:14" ht="90" x14ac:dyDescent="0.25">
      <c r="A30" s="3" t="s">
        <v>154</v>
      </c>
      <c r="B30" s="3" t="s">
        <v>155</v>
      </c>
      <c r="C30" s="4"/>
      <c r="D30" s="3" t="s">
        <v>156</v>
      </c>
      <c r="E30" s="3" t="s">
        <v>157</v>
      </c>
      <c r="F30" s="3" t="s">
        <v>16</v>
      </c>
      <c r="G30" s="3" t="s">
        <v>158</v>
      </c>
      <c r="H30" s="3" t="s">
        <v>159</v>
      </c>
      <c r="I30" s="3" t="s">
        <v>157</v>
      </c>
      <c r="J30" s="4">
        <v>3.28</v>
      </c>
      <c r="K30" s="4">
        <v>3</v>
      </c>
      <c r="L30" s="4">
        <v>9.84</v>
      </c>
      <c r="M30" s="6">
        <v>1</v>
      </c>
      <c r="N30">
        <f t="shared" si="0"/>
        <v>3.28</v>
      </c>
    </row>
    <row r="31" spans="1:14" ht="75" x14ac:dyDescent="0.25">
      <c r="A31" s="3" t="s">
        <v>160</v>
      </c>
      <c r="B31" s="3" t="s">
        <v>161</v>
      </c>
      <c r="C31" s="3" t="s">
        <v>160</v>
      </c>
      <c r="D31" s="3" t="s">
        <v>162</v>
      </c>
      <c r="E31" s="3" t="s">
        <v>160</v>
      </c>
      <c r="F31" s="3" t="s">
        <v>16</v>
      </c>
      <c r="G31" s="3" t="s">
        <v>163</v>
      </c>
      <c r="H31" s="3" t="s">
        <v>159</v>
      </c>
      <c r="I31" s="3" t="s">
        <v>160</v>
      </c>
      <c r="J31" s="4">
        <v>2.64</v>
      </c>
      <c r="K31" s="4">
        <v>3</v>
      </c>
      <c r="L31" s="4">
        <v>7.92</v>
      </c>
      <c r="M31" s="6">
        <v>1</v>
      </c>
      <c r="N31">
        <f t="shared" si="0"/>
        <v>2.64</v>
      </c>
    </row>
    <row r="32" spans="1:14" x14ac:dyDescent="0.25">
      <c r="L32">
        <f>SUM(L2:L31)</f>
        <v>50.529000000000011</v>
      </c>
      <c r="N32">
        <f>SUM(N2:N31)</f>
        <v>22.919999999999998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33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BOM_UltraZohm_Analog_Adapter_MA</vt:lpstr>
      <vt:lpstr>BOM_UltraZohm_Analog_Adapter_MA!Drucktitel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Kreppel</dc:creator>
  <cp:lastModifiedBy>Thomas Kreppel</cp:lastModifiedBy>
  <dcterms:created xsi:type="dcterms:W3CDTF">2020-06-16T08:21:20Z</dcterms:created>
  <dcterms:modified xsi:type="dcterms:W3CDTF">2020-06-16T08:23:34Z</dcterms:modified>
</cp:coreProperties>
</file>